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5"/>
    <sheet state="visible" name="EVALUACION1"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RE_NL">'RELEVANCIA-PUNTAJE'!$E$4</definedName>
    <definedName name="RE_ML">'RELEVANCIA-PUNTAJE'!$D$4</definedName>
    <definedName name="CL">'RELEVANCIA-PUNTAJE'!$B$2</definedName>
    <definedName name="RE_TL">'RELEVANCIA-PUNTAJE'!$B$4</definedName>
    <definedName name="MR">'RELEVANCIA-PUNTAJE'!$A$3</definedName>
    <definedName name="PR_NL">'RELEVANCIA-PUNTAJE'!$E$5</definedName>
    <definedName name="L">'RELEVANCIA-PUNTAJE'!$C$2</definedName>
    <definedName name="MR_L">'RELEVANCIA-PUNTAJE'!$C$3</definedName>
    <definedName name="PR">'RELEVANCIA-PUNTAJE'!$A$5</definedName>
    <definedName name="PR_ML">'RELEVANCIA-PUNTAJE'!$D$5</definedName>
    <definedName name="RE">'RELEVANCIA-PUNTAJE'!$A$4</definedName>
    <definedName name="MR_NL">'RELEVANCIA-PUNTAJE'!$E$3</definedName>
    <definedName name="ML">'RELEVANCIA-PUNTAJE'!$D$2</definedName>
    <definedName name="MR_TL">'RELEVANCIA-PUNTAJE'!$B$3</definedName>
    <definedName name="NL">'RELEVANCIA-PUNTAJE'!$E$2</definedName>
    <definedName name="PR_TL">'RELEVANCIA-PUNTAJE'!$B$5</definedName>
    <definedName name="TL">'RELEVANCIA-PUNTAJE'!$B$2</definedName>
    <definedName name="MR_ML">'RELEVANCIA-PUNTAJE'!$D$3</definedName>
  </definedNames>
  <calcPr/>
</workbook>
</file>

<file path=xl/sharedStrings.xml><?xml version="1.0" encoding="utf-8"?>
<sst xmlns="http://schemas.openxmlformats.org/spreadsheetml/2006/main" count="135" uniqueCount="76">
  <si>
    <t>PUNTOS</t>
  </si>
  <si>
    <t>Puntaje</t>
  </si>
  <si>
    <t>Indicador de Evaluación</t>
  </si>
  <si>
    <t>NOTA</t>
  </si>
  <si>
    <t>Nota</t>
  </si>
  <si>
    <t>Categorías de Respuesta</t>
  </si>
  <si>
    <t>Ponderación del Indicador de Evaluación</t>
  </si>
  <si>
    <t>INTEGRANTES</t>
  </si>
  <si>
    <t>GRUPAL</t>
  </si>
  <si>
    <t>INDIVIDUAL</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</si>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</sst>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0" fillId="0" fontId="3" numFmtId="164" xfId="0" applyFont="1" applyNumberFormat="1"/>
    <xf borderId="5" fillId="0" fontId="4" numFmtId="0" xfId="0" applyBorder="1" applyFont="1"/>
    <xf borderId="1" fillId="4" fontId="3" numFmtId="9" xfId="0" applyAlignment="1" applyBorder="1" applyFill="1" applyFont="1" applyNumberFormat="1">
      <alignment horizontal="center" vertical="center"/>
    </xf>
    <xf borderId="6" fillId="0" fontId="4" numFmtId="0" xfId="0" applyBorder="1" applyFont="1"/>
    <xf borderId="0" fillId="0" fontId="5" numFmtId="0" xfId="0" applyFont="1"/>
    <xf borderId="2" fillId="3" fontId="3" numFmtId="0" xfId="0" applyAlignment="1" applyBorder="1" applyFill="1" applyFont="1">
      <alignment horizontal="center" shrinkToFit="0" vertical="center" wrapText="1"/>
    </xf>
    <xf borderId="7" fillId="0" fontId="4" numFmtId="0" xfId="0" applyBorder="1" applyFont="1"/>
    <xf borderId="1" fillId="2" fontId="6" numFmtId="0" xfId="0" applyAlignment="1" applyBorder="1" applyFill="1" applyFont="1">
      <alignment horizontal="center" shrinkToFit="0" vertical="center" wrapText="1"/>
    </xf>
    <xf borderId="0" fillId="0" fontId="3" numFmtId="0" xfId="0" applyAlignment="1" applyFont="1">
      <alignment horizontal="right" vertical="center"/>
    </xf>
    <xf borderId="3" fillId="0" fontId="3" numFmtId="0" xfId="0" applyAlignment="1" applyBorder="1" applyFont="1">
      <alignment horizontal="left"/>
    </xf>
    <xf borderId="2" fillId="2" fontId="6"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2" fillId="2" fontId="2" numFmtId="9" xfId="0" applyAlignment="1" applyBorder="1" applyFill="1" applyFont="1" applyNumberFormat="1">
      <alignment horizontal="center" shrinkToFit="0" vertical="center" wrapText="1"/>
    </xf>
    <xf borderId="2"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2"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5" fontId="9" numFmtId="0" xfId="0" applyAlignment="1" applyBorder="1" applyFill="1" applyFont="1">
      <alignment horizontal="left" shrinkToFit="0" vertical="center" wrapText="1"/>
    </xf>
    <xf borderId="2" fillId="4" fontId="3" numFmtId="164" xfId="0" applyAlignment="1" applyBorder="1" applyFill="1" applyFont="1" applyNumberFormat="1">
      <alignment horizontal="center"/>
    </xf>
    <xf borderId="2"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 fillId="6" fontId="10" numFmtId="0" xfId="0" applyAlignment="1" applyBorder="1" applyFill="1" applyFont="1">
      <alignment horizontal="center" textRotation="255" vertical="center"/>
    </xf>
    <xf borderId="2" fillId="7" fontId="11" numFmtId="0" xfId="0" applyAlignment="1" applyBorder="1" applyFill="1" applyFont="1">
      <alignment horizontal="center" vertical="center"/>
    </xf>
    <xf borderId="1" fillId="7" fontId="8" numFmtId="0" xfId="0" applyAlignment="1" applyBorder="1" applyFill="1" applyFont="1">
      <alignment horizontal="center" vertical="center"/>
    </xf>
    <xf borderId="3"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2" fillId="0" fontId="12" numFmtId="0" xfId="0" applyAlignment="1" applyBorder="1" applyFont="1">
      <alignment horizontal="left" shrinkToFit="0" vertical="center" wrapText="1"/>
    </xf>
    <xf borderId="5" fillId="0" fontId="7" numFmtId="0" xfId="0" applyAlignment="1" applyBorder="1" applyFont="1">
      <alignment horizontal="left" vertical="center"/>
    </xf>
    <xf borderId="2" fillId="0" fontId="7" numFmtId="0" xfId="0" applyAlignment="1" applyBorder="1" applyFont="1">
      <alignment horizontal="center" vertical="center"/>
    </xf>
    <xf borderId="16" fillId="7" fontId="5" numFmtId="0" xfId="0" applyAlignment="1" applyBorder="1" applyFill="1" applyFont="1">
      <alignment horizontal="left" shrinkToFit="0" vertical="center" wrapText="1"/>
    </xf>
    <xf borderId="17" fillId="7" fontId="5" numFmtId="0" xfId="0" applyAlignment="1" applyBorder="1" applyFill="1" applyFont="1">
      <alignment shrinkToFit="0" vertical="center" wrapText="1"/>
    </xf>
    <xf borderId="18" fillId="7" fontId="5" numFmtId="0" xfId="0" applyAlignment="1" applyBorder="1" applyFill="1" applyFont="1">
      <alignment shrinkToFit="0" vertical="center" wrapText="1"/>
    </xf>
    <xf borderId="19" fillId="7" fontId="5" numFmtId="0" xfId="0" applyAlignment="1" applyBorder="1" applyFill="1" applyFont="1">
      <alignment shrinkToFit="0" vertical="center" wrapText="1"/>
    </xf>
    <xf borderId="20" fillId="0" fontId="4" numFmtId="0" xfId="0" applyBorder="1" applyFont="1"/>
    <xf borderId="21" fillId="7" fontId="5" numFmtId="0" xfId="0" applyAlignment="1" applyBorder="1" applyFill="1" applyFont="1">
      <alignmen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0" fillId="0" fontId="5"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2" fillId="8" fontId="3" numFmtId="0" xfId="0" applyBorder="1" applyFill="1" applyFont="1"/>
    <xf borderId="3" fillId="0" fontId="12" numFmtId="0" xfId="0" applyAlignment="1" applyBorder="1" applyFont="1">
      <alignment horizontal="right" shrinkToFit="0" vertical="center" wrapText="1"/>
    </xf>
    <xf borderId="2" fillId="0" fontId="13" numFmtId="164" xfId="0" applyBorder="1" applyFont="1" applyNumberFormat="1"/>
    <xf borderId="1" fillId="9" fontId="3" numFmtId="0" xfId="0" applyAlignment="1" applyBorder="1" applyFill="1" applyFont="1">
      <alignment horizontal="center" textRotation="255" vertical="center"/>
    </xf>
    <xf borderId="1" fillId="4" fontId="3" numFmtId="0" xfId="0" applyAlignment="1" applyBorder="1" applyFill="1" applyFont="1">
      <alignment horizontal="right" vertical="center"/>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2" fillId="7" fontId="8"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2</v>
      </c>
      <c r="B1" s="4" t="s">
        <v>5</v>
      </c>
      <c r="C1" s="5"/>
      <c r="D1" s="5"/>
      <c r="E1" s="7"/>
      <c r="F1" s="2" t="s">
        <v>6</v>
      </c>
    </row>
    <row r="2" ht="14.25" customHeight="1">
      <c r="A2" s="9"/>
      <c r="B2" s="13" t="s">
        <v>10</v>
      </c>
      <c r="C2" s="13" t="s">
        <v>11</v>
      </c>
      <c r="D2" s="16" t="s">
        <v>12</v>
      </c>
      <c r="E2" s="17" t="s">
        <v>13</v>
      </c>
      <c r="F2" s="9"/>
    </row>
    <row r="3" ht="14.25" customHeight="1">
      <c r="A3" s="12"/>
      <c r="B3" s="12"/>
      <c r="C3" s="12"/>
      <c r="D3" s="18">
        <v>-0.3</v>
      </c>
      <c r="E3" s="18">
        <v>0.0</v>
      </c>
      <c r="F3" s="12"/>
    </row>
    <row r="4" ht="14.25" customHeight="1">
      <c r="A4" s="19" t="s">
        <v>14</v>
      </c>
      <c r="B4" s="19" t="s">
        <v>15</v>
      </c>
      <c r="C4" s="19" t="s">
        <v>16</v>
      </c>
      <c r="D4" s="19" t="s">
        <v>17</v>
      </c>
      <c r="E4" s="19" t="s">
        <v>18</v>
      </c>
      <c r="F4" s="20">
        <v>10.0</v>
      </c>
    </row>
    <row r="5" ht="14.25" customHeight="1">
      <c r="A5" s="21" t="s">
        <v>19</v>
      </c>
      <c r="B5" s="19" t="s">
        <v>20</v>
      </c>
      <c r="C5" s="19" t="s">
        <v>21</v>
      </c>
      <c r="D5" s="19" t="s">
        <v>22</v>
      </c>
      <c r="E5" s="19" t="s">
        <v>23</v>
      </c>
      <c r="F5" s="20">
        <v>20.0</v>
      </c>
    </row>
    <row r="6" ht="14.25" customHeight="1">
      <c r="A6" s="21" t="s">
        <v>24</v>
      </c>
      <c r="B6" s="19" t="s">
        <v>25</v>
      </c>
      <c r="C6" s="19" t="s">
        <v>26</v>
      </c>
      <c r="D6" s="19" t="s">
        <v>27</v>
      </c>
      <c r="E6" s="19" t="s">
        <v>28</v>
      </c>
      <c r="F6" s="20">
        <v>5.0</v>
      </c>
    </row>
    <row r="7" ht="14.25" customHeight="1">
      <c r="A7" s="22" t="s">
        <v>29</v>
      </c>
      <c r="B7" s="23" t="s">
        <v>30</v>
      </c>
      <c r="C7" s="23" t="s">
        <v>31</v>
      </c>
      <c r="D7" s="23" t="s">
        <v>32</v>
      </c>
      <c r="E7" s="24" t="s">
        <v>33</v>
      </c>
      <c r="F7" s="20">
        <v>5.0</v>
      </c>
    </row>
    <row r="8" ht="14.25" customHeight="1">
      <c r="A8" s="21" t="s">
        <v>34</v>
      </c>
      <c r="B8" s="19" t="s">
        <v>35</v>
      </c>
      <c r="C8" s="19" t="s">
        <v>36</v>
      </c>
      <c r="D8" s="19" t="s">
        <v>37</v>
      </c>
      <c r="E8" s="19" t="s">
        <v>38</v>
      </c>
      <c r="F8" s="20">
        <v>5.0</v>
      </c>
    </row>
    <row r="9" ht="14.25" customHeight="1">
      <c r="A9" s="21" t="s">
        <v>39</v>
      </c>
      <c r="B9" s="19" t="s">
        <v>40</v>
      </c>
      <c r="C9" s="19" t="s">
        <v>41</v>
      </c>
      <c r="D9" s="19" t="s">
        <v>42</v>
      </c>
      <c r="E9" s="19" t="s">
        <v>43</v>
      </c>
      <c r="F9" s="20">
        <v>5.0</v>
      </c>
    </row>
    <row r="10" ht="14.25" customHeight="1">
      <c r="A10" s="21" t="s">
        <v>44</v>
      </c>
      <c r="B10" s="19" t="s">
        <v>45</v>
      </c>
      <c r="C10" s="19" t="s">
        <v>46</v>
      </c>
      <c r="D10" s="19" t="s">
        <v>47</v>
      </c>
      <c r="E10" s="19" t="s">
        <v>48</v>
      </c>
      <c r="F10" s="20">
        <v>15.0</v>
      </c>
    </row>
    <row r="11" ht="14.25" customHeight="1">
      <c r="A11" s="26" t="s">
        <v>49</v>
      </c>
      <c r="B11" s="27" t="s">
        <v>50</v>
      </c>
      <c r="C11" s="27" t="s">
        <v>51</v>
      </c>
      <c r="D11" s="27" t="s">
        <v>52</v>
      </c>
      <c r="E11" s="28" t="s">
        <v>53</v>
      </c>
      <c r="F11" s="20">
        <v>10.0</v>
      </c>
    </row>
    <row r="12" ht="14.25" customHeight="1">
      <c r="A12" s="29" t="s">
        <v>54</v>
      </c>
      <c r="B12" s="31" t="s">
        <v>55</v>
      </c>
      <c r="C12" s="31" t="s">
        <v>56</v>
      </c>
      <c r="D12" s="31" t="s">
        <v>57</v>
      </c>
      <c r="E12" s="31" t="s">
        <v>58</v>
      </c>
      <c r="F12" s="32">
        <v>15.0</v>
      </c>
    </row>
    <row r="13" ht="14.25" customHeight="1">
      <c r="A13" s="33" t="s">
        <v>59</v>
      </c>
      <c r="B13" s="27" t="s">
        <v>60</v>
      </c>
      <c r="C13" s="27" t="s">
        <v>61</v>
      </c>
      <c r="D13" s="27" t="s">
        <v>62</v>
      </c>
      <c r="E13" s="27" t="s">
        <v>63</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8">
        <v>1.0</v>
      </c>
    </row>
    <row r="3">
      <c r="B3" s="10" t="s">
        <v>7</v>
      </c>
      <c r="C3" s="11" t="s">
        <v>8</v>
      </c>
      <c r="D3" s="3" t="s">
        <v>9</v>
      </c>
      <c r="E3" s="12"/>
    </row>
    <row r="4">
      <c r="A4" s="14">
        <v>1.0</v>
      </c>
      <c r="B4" s="15"/>
      <c r="C4" s="25">
        <f>EVALUACION1!$C$21</f>
        <v>7</v>
      </c>
      <c r="D4" s="25">
        <f>$C$32</f>
        <v>7</v>
      </c>
      <c r="E4" s="30">
        <f t="shared" ref="E4:E6" si="1">C4*C$2+D4*D$2</f>
        <v>7</v>
      </c>
      <c r="G4" s="6"/>
    </row>
    <row r="5">
      <c r="A5" s="14">
        <v>2.0</v>
      </c>
      <c r="B5" s="15"/>
      <c r="C5" s="25">
        <f>EVALUACION1!$C$21</f>
        <v>7</v>
      </c>
      <c r="D5" s="25">
        <f>C44</f>
        <v>7</v>
      </c>
      <c r="E5" s="30">
        <f t="shared" si="1"/>
        <v>7</v>
      </c>
      <c r="G5" s="6"/>
    </row>
    <row r="6">
      <c r="A6" s="14">
        <v>3.0</v>
      </c>
      <c r="B6" s="15"/>
      <c r="C6" s="25">
        <f>EVALUACION1!$C$21</f>
        <v>7</v>
      </c>
      <c r="D6" s="25">
        <f>C55</f>
        <v>7</v>
      </c>
      <c r="E6" s="30">
        <f t="shared" si="1"/>
        <v>7</v>
      </c>
      <c r="G6" s="6"/>
    </row>
    <row r="11" outlineLevel="1">
      <c r="A11" s="34" t="s">
        <v>8</v>
      </c>
      <c r="B11" s="35"/>
      <c r="C11" s="36" t="s">
        <v>64</v>
      </c>
      <c r="D11" s="37" t="s">
        <v>65</v>
      </c>
      <c r="E11" s="5"/>
      <c r="F11" s="5"/>
      <c r="G11" s="5"/>
      <c r="H11" s="5"/>
      <c r="I11" s="5"/>
      <c r="J11" s="5"/>
      <c r="K11" s="7"/>
    </row>
    <row r="12" outlineLevel="1">
      <c r="A12" s="9"/>
      <c r="B12" s="38" t="s">
        <v>66</v>
      </c>
      <c r="C12" s="12"/>
      <c r="D12" s="37" t="s">
        <v>67</v>
      </c>
      <c r="E12" s="7"/>
      <c r="F12" s="37" t="s">
        <v>68</v>
      </c>
      <c r="G12" s="7"/>
      <c r="H12" s="37" t="s">
        <v>69</v>
      </c>
      <c r="I12" s="7"/>
      <c r="J12" s="37" t="s">
        <v>13</v>
      </c>
      <c r="K12" s="7"/>
    </row>
    <row r="13" outlineLevel="1">
      <c r="A13" s="9"/>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9"/>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9"/>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9"/>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9"/>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9"/>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9"/>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9"/>
      <c r="B20" s="52" t="s">
        <v>1</v>
      </c>
      <c r="C20" s="53">
        <f>E20+G20+I20+K20</f>
        <v>75</v>
      </c>
      <c r="D20" s="54"/>
      <c r="E20" s="54">
        <f>SUM(E13:E19)</f>
        <v>75</v>
      </c>
      <c r="F20" s="54"/>
      <c r="G20" s="54">
        <f>SUM(G13:G19)</f>
        <v>0</v>
      </c>
      <c r="H20" s="54"/>
      <c r="I20" s="54">
        <f>SUM(I13:I19)</f>
        <v>0</v>
      </c>
      <c r="J20" s="54"/>
      <c r="K20" s="54">
        <f>SUM(K13:K19)</f>
        <v>0</v>
      </c>
    </row>
    <row r="21" ht="15.75" customHeight="1" outlineLevel="1">
      <c r="A21" s="12"/>
      <c r="B21" s="55" t="s">
        <v>4</v>
      </c>
      <c r="C21" s="56">
        <f>VLOOKUP(C20,ESCALA_IEP!A1:B152,2,FALSE)</f>
        <v>7</v>
      </c>
    </row>
    <row r="22" ht="15.75" customHeight="1"/>
    <row r="23" ht="15.75" customHeight="1"/>
    <row r="24" ht="15.75" customHeight="1">
      <c r="A24" s="57" t="s">
        <v>9</v>
      </c>
      <c r="B24" s="58" t="s">
        <v>73</v>
      </c>
      <c r="C24" s="59" t="str">
        <f>$B$4</f>
        <v/>
      </c>
      <c r="D24" s="60"/>
      <c r="E24" s="60"/>
      <c r="F24" s="60"/>
      <c r="G24" s="60"/>
      <c r="H24" s="60"/>
      <c r="I24" s="60"/>
      <c r="J24" s="60"/>
      <c r="K24" s="61"/>
    </row>
    <row r="25" ht="15.75" customHeight="1">
      <c r="A25" s="9"/>
      <c r="B25" s="12"/>
      <c r="C25" s="62"/>
      <c r="D25" s="63"/>
      <c r="E25" s="63"/>
      <c r="F25" s="63"/>
      <c r="G25" s="63"/>
      <c r="H25" s="63"/>
      <c r="I25" s="63"/>
      <c r="J25" s="63"/>
      <c r="K25" s="64"/>
    </row>
    <row r="26" ht="15.75" customHeight="1">
      <c r="A26" s="9"/>
      <c r="B26" s="35" t="s">
        <v>74</v>
      </c>
      <c r="C26" s="36" t="s">
        <v>64</v>
      </c>
      <c r="D26" s="37" t="s">
        <v>65</v>
      </c>
      <c r="E26" s="5"/>
      <c r="F26" s="5"/>
      <c r="G26" s="5"/>
      <c r="H26" s="5"/>
      <c r="I26" s="5"/>
      <c r="J26" s="5"/>
      <c r="K26" s="7"/>
    </row>
    <row r="27" ht="15.75" customHeight="1">
      <c r="A27" s="9"/>
      <c r="B27" s="65" t="s">
        <v>66</v>
      </c>
      <c r="C27" s="12"/>
      <c r="D27" s="37" t="s">
        <v>67</v>
      </c>
      <c r="E27" s="7"/>
      <c r="F27" s="37" t="s">
        <v>68</v>
      </c>
      <c r="G27" s="7"/>
      <c r="H27" s="37" t="s">
        <v>69</v>
      </c>
      <c r="I27" s="7"/>
      <c r="J27" s="37" t="s">
        <v>13</v>
      </c>
      <c r="K27" s="7"/>
    </row>
    <row r="28" ht="15.75" customHeight="1">
      <c r="A28" s="9"/>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9"/>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9"/>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9"/>
      <c r="B31" s="66" t="s">
        <v>75</v>
      </c>
      <c r="C31" s="67">
        <f>E31+G31+I31+K31</f>
        <v>25</v>
      </c>
      <c r="D31" s="54"/>
      <c r="E31" s="54">
        <f>SUM(E28:E30)</f>
        <v>25</v>
      </c>
      <c r="F31" s="54"/>
      <c r="G31" s="54">
        <f>SUM(G28:G30)</f>
        <v>0</v>
      </c>
      <c r="H31" s="54"/>
      <c r="I31" s="54">
        <f>SUM(I28:I30)</f>
        <v>0</v>
      </c>
      <c r="J31" s="54"/>
      <c r="K31" s="54">
        <f>SUM(K29:K30)</f>
        <v>0</v>
      </c>
    </row>
    <row r="32" ht="15.75" customHeight="1">
      <c r="A32" s="12"/>
      <c r="B32" s="68" t="s">
        <v>4</v>
      </c>
      <c r="C32" s="56">
        <f>VLOOKUP(C31,ESCALA_TRAB_EQUIP!A1:B52,2,FALSE)</f>
        <v>7</v>
      </c>
    </row>
    <row r="33" ht="15.75" customHeight="1">
      <c r="B33" s="69"/>
      <c r="C33" s="70"/>
    </row>
    <row r="34" ht="15.75" customHeight="1">
      <c r="B34" s="69"/>
      <c r="C34" s="70"/>
    </row>
    <row r="35" ht="15.75" customHeight="1"/>
    <row r="36" ht="15.75" customHeight="1">
      <c r="A36" s="57" t="s">
        <v>9</v>
      </c>
      <c r="B36" s="58" t="s">
        <v>73</v>
      </c>
      <c r="C36" s="59" t="str">
        <f>B5</f>
        <v/>
      </c>
      <c r="D36" s="60"/>
      <c r="E36" s="60"/>
      <c r="F36" s="60"/>
      <c r="G36" s="60"/>
      <c r="H36" s="60"/>
      <c r="I36" s="60"/>
      <c r="J36" s="60"/>
      <c r="K36" s="61"/>
    </row>
    <row r="37" ht="15.75" customHeight="1">
      <c r="A37" s="9"/>
      <c r="B37" s="12"/>
      <c r="C37" s="62"/>
      <c r="D37" s="63"/>
      <c r="E37" s="63"/>
      <c r="F37" s="63"/>
      <c r="G37" s="63"/>
      <c r="H37" s="63"/>
      <c r="I37" s="63"/>
      <c r="J37" s="63"/>
      <c r="K37" s="64"/>
    </row>
    <row r="38" ht="15.75" customHeight="1">
      <c r="A38" s="9"/>
      <c r="B38" s="35" t="s">
        <v>74</v>
      </c>
      <c r="C38" s="36" t="s">
        <v>64</v>
      </c>
      <c r="D38" s="37" t="s">
        <v>65</v>
      </c>
      <c r="E38" s="5"/>
      <c r="F38" s="5"/>
      <c r="G38" s="5"/>
      <c r="H38" s="5"/>
      <c r="I38" s="5"/>
      <c r="J38" s="5"/>
      <c r="K38" s="7"/>
    </row>
    <row r="39" ht="15.75" customHeight="1">
      <c r="A39" s="9"/>
      <c r="B39" s="65" t="s">
        <v>66</v>
      </c>
      <c r="C39" s="12"/>
      <c r="D39" s="37" t="s">
        <v>67</v>
      </c>
      <c r="E39" s="7"/>
      <c r="F39" s="37" t="s">
        <v>68</v>
      </c>
      <c r="G39" s="7"/>
      <c r="H39" s="37" t="s">
        <v>69</v>
      </c>
      <c r="I39" s="7"/>
      <c r="J39" s="37" t="s">
        <v>13</v>
      </c>
      <c r="K39" s="7"/>
    </row>
    <row r="40" ht="15.75" customHeight="1">
      <c r="A40" s="9"/>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9"/>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9"/>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9"/>
      <c r="B43" s="66" t="s">
        <v>75</v>
      </c>
      <c r="C43" s="67">
        <f>E43+G43+I43+K43</f>
        <v>25</v>
      </c>
      <c r="D43" s="54"/>
      <c r="E43" s="54">
        <f>SUM(E40:E42)</f>
        <v>25</v>
      </c>
      <c r="F43" s="54"/>
      <c r="G43" s="54">
        <f>SUM(G40:G42)</f>
        <v>0</v>
      </c>
      <c r="H43" s="54"/>
      <c r="I43" s="54">
        <f>SUM(I40:I42)</f>
        <v>0</v>
      </c>
      <c r="J43" s="54"/>
      <c r="K43" s="54">
        <f>SUM(K41:K42)</f>
        <v>0</v>
      </c>
    </row>
    <row r="44" ht="15.75" customHeight="1">
      <c r="A44" s="12"/>
      <c r="B44" s="68" t="s">
        <v>4</v>
      </c>
      <c r="C44" s="56">
        <f>VLOOKUP(C43,ESCALA_TRAB_EQUIP!A1:B52,2,FALSE)</f>
        <v>7</v>
      </c>
    </row>
    <row r="45" ht="15.75" customHeight="1">
      <c r="B45" s="69"/>
      <c r="C45" s="70"/>
    </row>
    <row r="46" ht="15.75" customHeight="1">
      <c r="B46" s="69"/>
      <c r="C46" s="70"/>
    </row>
    <row r="47" ht="15.75" customHeight="1">
      <c r="A47" s="57" t="s">
        <v>9</v>
      </c>
      <c r="B47" s="58" t="s">
        <v>73</v>
      </c>
      <c r="C47" s="59" t="str">
        <f>B6</f>
        <v/>
      </c>
      <c r="D47" s="60"/>
      <c r="E47" s="60"/>
      <c r="F47" s="60"/>
      <c r="G47" s="60"/>
      <c r="H47" s="60"/>
      <c r="I47" s="60"/>
      <c r="J47" s="60"/>
      <c r="K47" s="61"/>
    </row>
    <row r="48" ht="15.75" customHeight="1">
      <c r="A48" s="9"/>
      <c r="B48" s="12"/>
      <c r="C48" s="62"/>
      <c r="D48" s="63"/>
      <c r="E48" s="63"/>
      <c r="F48" s="63"/>
      <c r="G48" s="63"/>
      <c r="H48" s="63"/>
      <c r="I48" s="63"/>
      <c r="J48" s="63"/>
      <c r="K48" s="64"/>
    </row>
    <row r="49" ht="15.75" customHeight="1">
      <c r="A49" s="9"/>
      <c r="B49" s="35" t="s">
        <v>74</v>
      </c>
      <c r="C49" s="36" t="s">
        <v>64</v>
      </c>
      <c r="D49" s="37" t="s">
        <v>65</v>
      </c>
      <c r="E49" s="5"/>
      <c r="F49" s="5"/>
      <c r="G49" s="5"/>
      <c r="H49" s="5"/>
      <c r="I49" s="5"/>
      <c r="J49" s="5"/>
      <c r="K49" s="7"/>
    </row>
    <row r="50" ht="15.75" customHeight="1">
      <c r="A50" s="9"/>
      <c r="B50" s="65" t="s">
        <v>66</v>
      </c>
      <c r="C50" s="12"/>
      <c r="D50" s="37" t="s">
        <v>67</v>
      </c>
      <c r="E50" s="7"/>
      <c r="F50" s="37" t="s">
        <v>68</v>
      </c>
      <c r="G50" s="7"/>
      <c r="H50" s="37" t="s">
        <v>69</v>
      </c>
      <c r="I50" s="7"/>
      <c r="J50" s="37" t="s">
        <v>13</v>
      </c>
      <c r="K50" s="7"/>
    </row>
    <row r="51" ht="15.75" customHeight="1">
      <c r="A51" s="9"/>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9"/>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9"/>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9"/>
      <c r="B54" s="66" t="s">
        <v>75</v>
      </c>
      <c r="C54" s="67">
        <f>E54+G54+I54+K54</f>
        <v>25</v>
      </c>
      <c r="D54" s="54"/>
      <c r="E54" s="54">
        <f>SUM(E51:E53)</f>
        <v>25</v>
      </c>
      <c r="F54" s="54"/>
      <c r="G54" s="54">
        <f>SUM(G51:G53)</f>
        <v>0</v>
      </c>
      <c r="H54" s="54"/>
      <c r="I54" s="54">
        <f>SUM(I51:I53)</f>
        <v>0</v>
      </c>
      <c r="J54" s="54"/>
      <c r="K54" s="54">
        <f>SUM(K52:K53)</f>
        <v>0</v>
      </c>
    </row>
    <row r="55" ht="15.75" customHeight="1">
      <c r="A55" s="12"/>
      <c r="B55" s="68" t="s">
        <v>4</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6"/>
    </row>
    <row r="54" ht="15.75" customHeight="1">
      <c r="B54" s="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1</v>
      </c>
      <c r="C1" s="44"/>
      <c r="D1" s="44"/>
      <c r="E1" s="45"/>
    </row>
    <row r="2">
      <c r="A2" s="46"/>
      <c r="B2" s="47" t="s">
        <v>67</v>
      </c>
      <c r="C2" s="48" t="s">
        <v>68</v>
      </c>
      <c r="D2" s="48" t="s">
        <v>71</v>
      </c>
      <c r="E2" s="49" t="s">
        <v>13</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